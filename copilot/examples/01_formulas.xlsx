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s" sheetId="1" state="visible" r:id="rId1"/>
    <sheet name="Parameters" sheetId="2" state="visible" r:id="rId2"/>
    <sheet name="Keys" sheetId="3" state="visible" r:id="rId3"/>
    <sheet name="job_runs" sheetId="4" state="visible" r:id="rId4"/>
    <sheet name="jobs" sheetId="5" state="visible" r:id="rId5"/>
    <sheet name="Hive"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name val="Consolas"/>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Parameters" displayName="Parameters" ref="A1:B2" headerRowCount="1">
  <autoFilter ref="A1:B2"/>
  <tableColumns count="2">
    <tableColumn id="1" name="name"/>
    <tableColumn id="2" name="value"/>
  </tableColumns>
  <tableStyleInfo name="TableStyleMedium2" showRowStripes="1"/>
</table>
</file>

<file path=xl/tables/table2.xml><?xml version="1.0" encoding="utf-8"?>
<table xmlns="http://schemas.openxmlformats.org/spreadsheetml/2006/main" id="2" name="Keys" displayName="Keys" ref="A1:B2" headerRowCount="1">
  <autoFilter ref="A1:B2"/>
  <tableColumns count="2">
    <tableColumn id="1" name="table"/>
    <tableColumn id="2" name="key_columns"/>
  </tableColumns>
  <tableStyleInfo name="TableStyleMedium2" showRowStripes="1"/>
</table>
</file>

<file path=xl/tables/table3.xml><?xml version="1.0" encoding="utf-8"?>
<table xmlns="http://schemas.openxmlformats.org/spreadsheetml/2006/main" id="3" name="job_runs" displayName="job_runs" ref="A1:G10" headerRowCount="1">
  <autoFilter ref="A1:G10"/>
  <tableColumns count="7">
    <tableColumn id="1" name="run_id"/>
    <tableColumn id="2" name="job_id"/>
    <tableColumn id="3" name="status"/>
    <tableColumn id="4" name="duration_mins"/>
    <tableColumn id="5" name="hours"/>
    <tableColumn id="6" name="job_name"/>
    <tableColumn id="7" name="cost"/>
  </tableColumns>
</table>
</file>

<file path=xl/tables/table4.xml><?xml version="1.0" encoding="utf-8"?>
<table xmlns="http://schemas.openxmlformats.org/spreadsheetml/2006/main" id="4" name="jobs" displayName="jobs" ref="A1:C5" headerRowCount="1">
  <autoFilter ref="A1:C5"/>
  <tableColumns count="3">
    <tableColumn id="1" name="job_id"/>
    <tableColumn id="2" name="job_name"/>
    <tableColumn id="3" name="team"/>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Formula workbook: how to fill it in</t>
        </is>
      </c>
    </row>
    <row r="2">
      <c r="A2" s="2" t="inlineStr">
        <is>
          <t>Copilot reads this workbook and writes Hive, the SQL your team's database runs, without anyone explaining what the workbook is for. Make a copy of this file for each piece of work.</t>
        </is>
      </c>
    </row>
    <row r="3">
      <c r="A3" s="3" t="inlineStr">
        <is>
          <t>The Parameters and Keys sheets:</t>
        </is>
      </c>
    </row>
    <row r="4">
      <c r="A4" s="2" t="inlineStr">
        <is>
          <t>Parameters holds the fixed values your formulas use, such as a tax rate: one row each, its name under name and its value under value (step 6). Keys is only for a Table where a value was typed over a formula: it names the columns that tell that Table's rows apart, so Copilot can find the row the typed value belongs to (step 10). Both start empty, and stay empty if you need neither.</t>
        </is>
      </c>
    </row>
    <row r="5">
      <c r="A5" s="3" t="inlineStr">
        <is>
          <t>Your data:</t>
        </is>
      </c>
    </row>
    <row r="6">
      <c r="A6" s="2" t="inlineStr">
        <is>
          <t>1. For each table of raw data the work starts from, paste a sample on a sheet of its own, as values only (Home &gt; Paste &gt; Paste Values): one header row, one row per record, no blank rows, no merged cells. Paste only the columns that hold data, not the ones that hold formulas: you rebuild those in step 4.</t>
        </is>
      </c>
    </row>
    <row r="7">
      <c r="A7" s="2" t="inlineStr">
        <is>
          <t>2. Click inside it, press Ctrl+T and tick "My table has headers". If the data was already in a Table, keep that Table's name; if you know the database table it comes from, use that name. Otherwise any name will do, with no spaces (Table Design &gt; Table Name; on older Excel, Design under Table Tools). Copilot keeps the names you give, and marks any it can't match to a database table for you to fill in.</t>
        </is>
      </c>
    </row>
    <row r="8">
      <c r="A8" s="2" t="inlineStr">
        <is>
          <t>3. Do steps 1 and 2 for every table of raw data before going on.</t>
        </is>
      </c>
    </row>
    <row r="9">
      <c r="A9" s="3" t="inlineStr">
        <is>
          <t>Your calculations:</t>
        </is>
      </c>
    </row>
    <row r="10">
      <c r="A10" s="2" t="inlineStr">
        <is>
          <t>4. Add a column to a Table for each calculation, and write its formula once, in the first row. Click a cell in the same row rather than typing its address, and Excel writes it by column name, such as =[@units]*[@price]. Excel fills the formula down the column.</t>
        </is>
      </c>
    </row>
    <row r="11">
      <c r="A11" s="2" t="inlineStr">
        <is>
          <t>5. A calculation that reads another Table, such as an XLOOKUP or a SUMIFS, is written the same way, naming the other Table: =XLOOKUP([@product_id], products[product_id], products[name]). A summary of totals, such as a block of SUMIFS cells or a PivotTable, is rebuilt as a Table of its own: a column for what it groups by, one row per group, and a SUMIFS column for each figure.</t>
        </is>
      </c>
    </row>
    <row r="12">
      <c r="A12" s="2" t="inlineStr">
        <is>
          <t>6. Move each fixed value a formula uses into the Parameters Table, one row per value, whether it was typed in a cell such as $B$3 or inside a formula such as *0.2, and change the formula to read it by name: =XLOOKUP("tax_rate", Parameters[name], Parameters[value]). Write a value as a plain number or text: 0.2, not 20%.</t>
        </is>
      </c>
    </row>
    <row r="13">
      <c r="A13" s="2" t="inlineStr">
        <is>
          <t>7. Power Query, if you use it, can do a calculation instead of a formula: Data &gt; From Table/Range, make the changes in the Power Query Editor, then Close &amp; Load to a new Table. Copilot reads its steps, and the new Table converts like any other. Skip this step if you don't use Power Query.</t>
        </is>
      </c>
    </row>
    <row r="14">
      <c r="A14" s="2" t="inlineStr">
        <is>
          <t>8. A formula that reads the row above, or a cell outside a Table, can't be read as SQL: Copilot names it and leaves its column empty for you to finish. Write a running total as =SUMIFS(t[v], t[d], "&lt;="&amp;[@d]), which Copilot can read.</t>
        </is>
      </c>
    </row>
    <row r="15">
      <c r="A15" s="3" t="inlineStr">
        <is>
          <t>Before you hand it over:</t>
        </is>
      </c>
    </row>
    <row r="16">
      <c r="A16" s="2" t="inlineStr">
        <is>
          <t>9. Take out anything you don't want converted: a Table, a column, a value typed over a formula. Whatever is left in a Table converts.</t>
        </is>
      </c>
    </row>
    <row r="17">
      <c r="A17" s="2" t="inlineStr">
        <is>
          <t>10. A value someone typed over a formula in one row is converted as it is, for that row. Find each in the original workbook (Ctrl+` shows formulas, so a typed value stands out) and type it over the formula in the same row here, making sure your sample holds that row. Then add one row to the Keys Table for that Table, however many values were typed over in it: the Table's name under table, and under key_columns the typed column or columns that tell its rows apart, separated by commas. For example, job_runs with run_id; or sales with region, month. If no column tells the rows apart, leave the Table out of Keys: Copilot then matches the row on all its typed columns. A Table with no value typed over a formula needs no row in Keys.</t>
        </is>
      </c>
    </row>
    <row r="18">
      <c r="A18" s="2" t="inlineStr">
        <is>
          <t>11. Charts and anything outside a Table are left alone, and Copilot names them. Titles and notes can stay.</t>
        </is>
      </c>
    </row>
    <row r="19">
      <c r="A19" s="2" t="inlineStr">
        <is>
          <t>12. Save the workbook, attach it in a Copilot chat with Copilot files 11 and 12 loaded (with files 03, 04 and 05), and ask Copilot to convert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name</t>
        </is>
      </c>
      <c r="B1" t="inlineStr">
        <is>
          <t>value</t>
        </is>
      </c>
      <c r="D1" s="2" t="inlineStr">
        <is>
          <t>Parameters: the fixed values your formulas use, one row per value. Put its name under name and the value under value, such as tax_rate and 0.2 (a plain number, not 20%), then read it by name in a formula: XLOOKUP("tax_rate", Parameters[name], Parameters[value]). Leave the Table empty if no formula uses a fixed value. See step 6 on the Steps sheet.</t>
        </is>
      </c>
    </row>
    <row r="2">
      <c r="A2" t="inlineStr">
        <is>
          <t>rate</t>
        </is>
      </c>
      <c r="B2" t="n">
        <v>0.5</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4" customWidth="1" min="1" max="1"/>
    <col width="24" customWidth="1" min="2" max="2"/>
    <col width="60" customWidth="1" min="4" max="4"/>
  </cols>
  <sheetData>
    <row r="1">
      <c r="A1" t="inlineStr">
        <is>
          <t>table</t>
        </is>
      </c>
      <c r="B1" t="inlineStr">
        <is>
          <t>key_columns</t>
        </is>
      </c>
      <c r="D1" s="2" t="inlineStr">
        <is>
          <t>Keys: only for a Table where a value was typed over a formula. Add one row for that Table, however many values were typed over in it: the Table's name under table, and under key_columns the typed column or columns that tell its rows apart, separated by commas, such as job_runs with run_id, or sales with region, month. Copilot uses them to find the row a typed value belongs to. If no column tells the rows apart, leave the Table out. A Table with no value typed over a formula needs no row here. See step 10 on the Steps sheet.</t>
        </is>
      </c>
    </row>
    <row r="2">
      <c r="A2" t="inlineStr">
        <is>
          <t>job_runs</t>
        </is>
      </c>
      <c r="B2" t="inlineStr">
        <is>
          <t>run_id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run_id</t>
        </is>
      </c>
      <c r="B1" t="inlineStr">
        <is>
          <t>job_id</t>
        </is>
      </c>
      <c r="C1" t="inlineStr">
        <is>
          <t>status</t>
        </is>
      </c>
      <c r="D1" t="inlineStr">
        <is>
          <t>duration_mins</t>
        </is>
      </c>
      <c r="E1" t="inlineStr">
        <is>
          <t>hours</t>
        </is>
      </c>
      <c r="F1" t="inlineStr">
        <is>
          <t>job_name</t>
        </is>
      </c>
      <c r="G1" t="inlineStr">
        <is>
          <t>cost</t>
        </is>
      </c>
    </row>
    <row r="2">
      <c r="A2" t="n">
        <v>95</v>
      </c>
      <c r="B2" t="n">
        <v>1</v>
      </c>
      <c r="C2" t="inlineStr">
        <is>
          <t>SUCCESS</t>
        </is>
      </c>
      <c r="D2" t="n">
        <v>12</v>
      </c>
      <c r="E2">
        <f>job_runs[[#This Row],[duration_mins]]/60</f>
        <v/>
      </c>
      <c r="F2">
        <f>_xlfn.XLOOKUP(job_runs[[#This Row],[job_id]],jobs[job_id],jobs[job_name])</f>
        <v/>
      </c>
      <c r="G2">
        <f>job_runs[[#This Row],[duration_mins]]*_xlfn.XLOOKUP("rate",Parameters[name],Parameters[value])</f>
        <v/>
      </c>
    </row>
    <row r="3">
      <c r="A3" t="n">
        <v>96</v>
      </c>
      <c r="B3" t="n">
        <v>2</v>
      </c>
      <c r="C3" t="inlineStr">
        <is>
          <t>SUCCESS</t>
        </is>
      </c>
      <c r="D3" t="n">
        <v>18</v>
      </c>
      <c r="E3">
        <f>job_runs[[#This Row],[duration_mins]]/60</f>
        <v/>
      </c>
      <c r="F3">
        <f>_xlfn.XLOOKUP(job_runs[[#This Row],[job_id]],jobs[job_id],jobs[job_name])</f>
        <v/>
      </c>
      <c r="G3">
        <f>job_runs[[#This Row],[duration_mins]]*_xlfn.XLOOKUP("rate",Parameters[name],Parameters[value])</f>
        <v/>
      </c>
    </row>
    <row r="4">
      <c r="A4" t="n">
        <v>97</v>
      </c>
      <c r="B4" t="n">
        <v>3</v>
      </c>
      <c r="C4" t="inlineStr">
        <is>
          <t>FAILED</t>
        </is>
      </c>
      <c r="D4" t="n">
        <v>30</v>
      </c>
      <c r="E4">
        <f>job_runs[[#This Row],[duration_mins]]/60</f>
        <v/>
      </c>
      <c r="F4">
        <f>_xlfn.XLOOKUP(job_runs[[#This Row],[job_id]],jobs[job_id],jobs[job_name])</f>
        <v/>
      </c>
      <c r="G4">
        <f>job_runs[[#This Row],[duration_mins]]*_xlfn.XLOOKUP("rate",Parameters[name],Parameters[value])</f>
        <v/>
      </c>
    </row>
    <row r="5">
      <c r="A5" t="n">
        <v>98</v>
      </c>
      <c r="B5" t="n">
        <v>2</v>
      </c>
      <c r="D5" t="n">
        <v>15</v>
      </c>
      <c r="E5">
        <f>job_runs[[#This Row],[duration_mins]]/60</f>
        <v/>
      </c>
      <c r="F5">
        <f>_xlfn.XLOOKUP(job_runs[[#This Row],[job_id]],jobs[job_id],jobs[job_name])</f>
        <v/>
      </c>
      <c r="G5">
        <f>job_runs[[#This Row],[duration_mins]]*_xlfn.XLOOKUP("rate",Parameters[name],Parameters[value])</f>
        <v/>
      </c>
    </row>
    <row r="6">
      <c r="A6" t="n">
        <v>99</v>
      </c>
      <c r="B6" t="n">
        <v>1</v>
      </c>
      <c r="C6" t="inlineStr">
        <is>
          <t>TEST</t>
        </is>
      </c>
      <c r="D6" t="n">
        <v>5</v>
      </c>
      <c r="E6">
        <f>job_runs[[#This Row],[duration_mins]]/60</f>
        <v/>
      </c>
      <c r="F6">
        <f>_xlfn.XLOOKUP(job_runs[[#This Row],[job_id]],jobs[job_id],jobs[job_name])</f>
        <v/>
      </c>
      <c r="G6">
        <f>job_runs[[#This Row],[duration_mins]]*_xlfn.XLOOKUP("rate",Parameters[name],Parameters[value])</f>
        <v/>
      </c>
    </row>
    <row r="7">
      <c r="A7" t="n">
        <v>101</v>
      </c>
      <c r="B7" t="n">
        <v>1</v>
      </c>
      <c r="C7" t="inlineStr">
        <is>
          <t>SUCCESS</t>
        </is>
      </c>
      <c r="D7" t="n">
        <v>10</v>
      </c>
      <c r="E7">
        <f>job_runs[[#This Row],[duration_mins]]/60</f>
        <v/>
      </c>
      <c r="F7">
        <f>_xlfn.XLOOKUP(job_runs[[#This Row],[job_id]],jobs[job_id],jobs[job_name])</f>
        <v/>
      </c>
      <c r="G7">
        <f>job_runs[[#This Row],[duration_mins]]*_xlfn.XLOOKUP("rate",Parameters[name],Parameters[value])</f>
        <v/>
      </c>
    </row>
    <row r="8">
      <c r="A8" t="n">
        <v>102</v>
      </c>
      <c r="B8" t="n">
        <v>2</v>
      </c>
      <c r="C8" t="inlineStr">
        <is>
          <t>FAILED</t>
        </is>
      </c>
      <c r="D8" t="n">
        <v>20</v>
      </c>
      <c r="E8">
        <f>job_runs[[#This Row],[duration_mins]]/60</f>
        <v/>
      </c>
      <c r="F8">
        <f>_xlfn.XLOOKUP(job_runs[[#This Row],[job_id]],jobs[job_id],jobs[job_name])</f>
        <v/>
      </c>
      <c r="G8">
        <f>job_runs[[#This Row],[duration_mins]]*_xlfn.XLOOKUP("rate",Parameters[name],Parameters[value])</f>
        <v/>
      </c>
    </row>
    <row r="9">
      <c r="A9" t="n">
        <v>103</v>
      </c>
      <c r="B9" t="n">
        <v>3</v>
      </c>
      <c r="C9" t="inlineStr">
        <is>
          <t>SUCCESS</t>
        </is>
      </c>
      <c r="D9" t="n">
        <v>30</v>
      </c>
      <c r="E9" t="n">
        <v>9</v>
      </c>
      <c r="F9">
        <f>_xlfn.XLOOKUP(job_runs[[#This Row],[job_id]],jobs[job_id],jobs[job_name])</f>
        <v/>
      </c>
      <c r="G9">
        <f>job_runs[[#This Row],[duration_mins]]*_xlfn.XLOOKUP("rate",Parameters[name],Parameters[value])</f>
        <v/>
      </c>
    </row>
    <row r="10">
      <c r="A10" t="n">
        <v>104</v>
      </c>
      <c r="B10" t="n">
        <v>1</v>
      </c>
      <c r="C10" t="inlineStr">
        <is>
          <t>SUCCESS</t>
        </is>
      </c>
      <c r="D10" t="n">
        <v>40</v>
      </c>
      <c r="E10">
        <f>job_runs[[#This Row],[duration_mins]]/60</f>
        <v/>
      </c>
      <c r="F10">
        <f>_xlfn.XLOOKUP(job_runs[[#This Row],[job_id]],jobs[job_id],jobs[job_name])</f>
        <v/>
      </c>
      <c r="G10">
        <f>job_runs[[#This Row],[duration_mins]]*_xlfn.XLOOKUP("rate",Parameters[name],Parameters[value])</f>
        <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job_id</t>
        </is>
      </c>
      <c r="B1" t="inlineStr">
        <is>
          <t>job_name</t>
        </is>
      </c>
      <c r="C1" t="inlineStr">
        <is>
          <t>team</t>
        </is>
      </c>
    </row>
    <row r="2">
      <c r="A2" t="n">
        <v>1</v>
      </c>
      <c r="B2" t="inlineStr">
        <is>
          <t>nightly_load</t>
        </is>
      </c>
      <c r="C2" t="inlineStr">
        <is>
          <t>data</t>
        </is>
      </c>
    </row>
    <row r="3">
      <c r="A3" t="n">
        <v>2</v>
      </c>
      <c r="B3" t="inlineStr">
        <is>
          <t>invoice_sync</t>
        </is>
      </c>
      <c r="C3" t="inlineStr">
        <is>
          <t>finance</t>
        </is>
      </c>
    </row>
    <row r="4">
      <c r="A4" t="n">
        <v>3</v>
      </c>
      <c r="B4" t="inlineStr">
        <is>
          <t>report_build</t>
        </is>
      </c>
      <c r="C4" t="inlineStr">
        <is>
          <t>finance</t>
        </is>
      </c>
    </row>
    <row r="5">
      <c r="A5" t="n">
        <v>4</v>
      </c>
      <c r="B5" t="inlineStr">
        <is>
          <t>cache_warm</t>
        </is>
      </c>
      <c r="C5" t="inlineStr">
        <is>
          <t>web</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4" t="inlineStr">
        <is>
          <t>The Hive this workbook converts to</t>
        </is>
      </c>
    </row>
    <row r="2">
      <c r="A2" s="2" t="inlineStr">
        <is>
          <t>What Copilot gives with files 11 and 12 loaded: the map, then a query per final. Fill in &lt;database&gt; with your database's name. Delete this sheet before you try the workbook on Copilot yourself.</t>
        </is>
      </c>
    </row>
    <row r="4">
      <c r="A4" s="2" t="inlineStr">
        <is>
          <t>Sources: job_runs, jobs. Finals: job_runs (run_id, job_id, status, duration_mins, hours, job_name, cost). Typed over: hours where run_id is 103, matched on Keys' run_id. Parameters: rate, 0.5. Fill in: &lt;database&gt;.</t>
        </is>
      </c>
    </row>
    <row r="6">
      <c r="A6" s="5" t="inlineStr">
        <is>
          <t>job_runs:</t>
        </is>
      </c>
    </row>
    <row r="7">
      <c r="A7" s="6" t="inlineStr">
        <is>
          <t>SELECT r.run_id, r.job_id, r.status, r.duration_mins, CASE WHEN r.run_id = 103 THEN 9 ELSE r.duration_mins / 60 END AS hours, j.job_name, r.duration_mins * 0.5 AS cost
FROM &lt;database&gt;.job_runs r
LEFT JOIN &lt;database&gt;.jobs j ON r.job_id = j.job_id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2026-10-29T19:37:34Z</dcterms:created>
  <dcterms:modified xsi:type="dcterms:W3CDTF">2026-10-29T19:37:34Z</dcterms:modified>
</cp:coreProperties>
</file>